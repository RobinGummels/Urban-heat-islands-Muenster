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Documents\Uni Münster\Sommersemester 2025\Fernerkundung\Urban-heat-islands-Muenster\data\sentinel-2\classification\"/>
    </mc:Choice>
  </mc:AlternateContent>
  <xr:revisionPtr revIDLastSave="0" documentId="13_ncr:1_{6762F286-27D9-4EDE-A189-BE1E2CE1BB06}" xr6:coauthVersionLast="47" xr6:coauthVersionMax="47" xr10:uidLastSave="{00000000-0000-0000-0000-000000000000}"/>
  <bookViews>
    <workbookView xWindow="-110" yWindow="-110" windowWidth="24220" windowHeight="15500" xr2:uid="{74CDA38E-FDE7-473E-9A5E-5A84B41B640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C6" i="1"/>
  <c r="B6" i="1"/>
  <c r="F6" i="1" s="1"/>
  <c r="F5" i="1"/>
  <c r="F4" i="1"/>
  <c r="F3" i="1"/>
  <c r="F2" i="1"/>
  <c r="H2" i="1" l="1"/>
  <c r="H4" i="1"/>
  <c r="H6" i="1" l="1"/>
</calcChain>
</file>

<file path=xl/sharedStrings.xml><?xml version="1.0" encoding="utf-8"?>
<sst xmlns="http://schemas.openxmlformats.org/spreadsheetml/2006/main" count="13" uniqueCount="8">
  <si>
    <t>Infrastruktur</t>
  </si>
  <si>
    <t>Gewässer</t>
  </si>
  <si>
    <t>Wald</t>
  </si>
  <si>
    <t>Wiese/Feld</t>
  </si>
  <si>
    <t>Summe</t>
  </si>
  <si>
    <t>Accuracy:</t>
  </si>
  <si>
    <t>Ac: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</si>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</sst>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B351-A01B-4D2E-98F1-F9E312B72288}">
  <dimension ref="A1:H6"/>
  <sheetViews>
    <sheetView tabSelected="1" workbookViewId="0">
      <selection activeCell="C7" sqref="C7"/>
    </sheetView>
  </sheetViews>
  <sheetFormatPr baseColWidth="10" defaultRowHeight="14.5" x14ac:dyDescent="0.35"/>
  <sheetData>
    <row r="1" spans="1:8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</row>
    <row r="2" spans="1:8" x14ac:dyDescent="0.35">
      <c r="A2" s="1" t="s">
        <v>0</v>
      </c>
      <c r="B2" s="1">
        <v>1273</v>
      </c>
      <c r="C2" s="1">
        <v>0</v>
      </c>
      <c r="D2" s="1">
        <v>0</v>
      </c>
      <c r="E2" s="1">
        <v>60</v>
      </c>
      <c r="F2" s="1">
        <f>SUM(B2:E2)</f>
        <v>1333</v>
      </c>
      <c r="G2" s="1"/>
      <c r="H2" s="1">
        <f>SUM(B2,C3,D4,E5)/F6</f>
        <v>0.94617404351087775</v>
      </c>
    </row>
    <row r="3" spans="1:8" x14ac:dyDescent="0.35">
      <c r="A3" s="1" t="s">
        <v>1</v>
      </c>
      <c r="B3" s="1">
        <v>17</v>
      </c>
      <c r="C3" s="1">
        <v>1316</v>
      </c>
      <c r="D3" s="1">
        <v>0</v>
      </c>
      <c r="E3" s="1">
        <v>0</v>
      </c>
      <c r="F3" s="1">
        <f>SUM(B3:E3)</f>
        <v>1333</v>
      </c>
      <c r="G3" s="1"/>
      <c r="H3" s="1" t="s">
        <v>6</v>
      </c>
    </row>
    <row r="4" spans="1:8" x14ac:dyDescent="0.35">
      <c r="A4" s="1" t="s">
        <v>2</v>
      </c>
      <c r="B4" s="1">
        <v>0</v>
      </c>
      <c r="C4" s="1">
        <v>0</v>
      </c>
      <c r="D4" s="1">
        <v>1315</v>
      </c>
      <c r="E4" s="1">
        <v>18</v>
      </c>
      <c r="F4" s="1">
        <f>SUM(B4:E4)</f>
        <v>1333</v>
      </c>
      <c r="G4" s="1"/>
      <c r="H4" s="1">
        <f>(B6/F6)*(F2/F6)+(C6/F6)*(F3/F6)+(D6/F6)*(F4/F6)+(E6/F6)*(F5/F6)</f>
        <v>0.25</v>
      </c>
    </row>
    <row r="5" spans="1:8" x14ac:dyDescent="0.35">
      <c r="A5" s="1" t="s">
        <v>3</v>
      </c>
      <c r="B5" s="1">
        <v>50</v>
      </c>
      <c r="C5" s="1">
        <v>0</v>
      </c>
      <c r="D5" s="1">
        <v>142</v>
      </c>
      <c r="E5" s="1">
        <v>1141</v>
      </c>
      <c r="F5" s="1">
        <f>SUM(B5:E5)</f>
        <v>1333</v>
      </c>
      <c r="G5" s="1"/>
      <c r="H5" s="1" t="s">
        <v>7</v>
      </c>
    </row>
    <row r="6" spans="1:8" x14ac:dyDescent="0.35">
      <c r="A6" s="1" t="s">
        <v>4</v>
      </c>
      <c r="B6" s="1">
        <f>SUM(B2:B5)</f>
        <v>1340</v>
      </c>
      <c r="C6" s="1">
        <f>SUM(C2:C5)</f>
        <v>1316</v>
      </c>
      <c r="D6" s="1">
        <f>SUM(D2:D5)</f>
        <v>1457</v>
      </c>
      <c r="E6" s="1">
        <f>SUM(E2:E5)</f>
        <v>1219</v>
      </c>
      <c r="F6" s="1">
        <f>SUM(B6:E6)</f>
        <v>5332</v>
      </c>
      <c r="G6" s="1"/>
      <c r="H6" s="1">
        <f>(H2-H4)/(1-H4)</f>
        <v>0.9282320580145037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 Kruck</dc:creator>
  <cp:lastModifiedBy>Robin Gummels</cp:lastModifiedBy>
  <dcterms:created xsi:type="dcterms:W3CDTF">2025-07-09T12:37:54Z</dcterms:created>
  <dcterms:modified xsi:type="dcterms:W3CDTF">2025-07-13T15:16:23Z</dcterms:modified>
</cp:coreProperties>
</file>